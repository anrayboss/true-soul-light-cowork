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\true-soul-light-cowork\真靈光企劃書所有資訊(線上共編處)\"/>
    </mc:Choice>
  </mc:AlternateContent>
  <xr:revisionPtr revIDLastSave="0" documentId="13_ncr:1_{37375794-3A9D-4052-A6C1-5230BDDBD3F9}" xr6:coauthVersionLast="47" xr6:coauthVersionMax="47" xr10:uidLastSave="{00000000-0000-0000-0000-000000000000}"/>
  <bookViews>
    <workbookView xWindow="0" yWindow="0" windowWidth="18570" windowHeight="16200" activeTab="1" xr2:uid="{00000000-000D-0000-FFFF-FFFF00000000}"/>
  </bookViews>
  <sheets>
    <sheet name="圖表" sheetId="1" r:id="rId1"/>
    <sheet name="保守估計" sheetId="2" r:id="rId2"/>
    <sheet name="客觀估計" sheetId="3" r:id="rId3"/>
    <sheet name="樂觀估計" sheetId="4" r:id="rId4"/>
    <sheet name="成本明細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5" l="1"/>
  <c r="E11" i="5"/>
  <c r="D11" i="5"/>
  <c r="C11" i="5"/>
  <c r="B11" i="5"/>
  <c r="E26" i="4"/>
  <c r="B26" i="4"/>
  <c r="B25" i="4"/>
  <c r="E25" i="4" s="1"/>
  <c r="B24" i="4"/>
  <c r="E24" i="4" s="1"/>
  <c r="B23" i="4"/>
  <c r="E23" i="4" s="1"/>
  <c r="B22" i="4"/>
  <c r="E22" i="4" s="1"/>
  <c r="B21" i="4"/>
  <c r="E21" i="4" s="1"/>
  <c r="B20" i="4"/>
  <c r="E20" i="4" s="1"/>
  <c r="B19" i="4"/>
  <c r="E19" i="4" s="1"/>
  <c r="E18" i="4"/>
  <c r="B18" i="4"/>
  <c r="B17" i="4"/>
  <c r="E17" i="4" s="1"/>
  <c r="F17" i="4" s="1"/>
  <c r="F18" i="4" s="1"/>
  <c r="F19" i="4" s="1"/>
  <c r="F20" i="4" s="1"/>
  <c r="F21" i="4" s="1"/>
  <c r="F22" i="4" s="1"/>
  <c r="F23" i="4" s="1"/>
  <c r="F24" i="4" s="1"/>
  <c r="F25" i="4" s="1"/>
  <c r="F26" i="4" s="1"/>
  <c r="B26" i="2"/>
  <c r="E26" i="2" s="1"/>
  <c r="B25" i="2"/>
  <c r="E25" i="2" s="1"/>
  <c r="B24" i="2"/>
  <c r="E24" i="2" s="1"/>
  <c r="B23" i="2"/>
  <c r="E23" i="2" s="1"/>
  <c r="B22" i="2"/>
  <c r="E22" i="2" s="1"/>
  <c r="B21" i="2"/>
  <c r="E21" i="2" s="1"/>
  <c r="E20" i="2"/>
  <c r="B20" i="2"/>
  <c r="B19" i="2"/>
  <c r="E19" i="2" s="1"/>
  <c r="B18" i="2"/>
  <c r="E18" i="2" s="1"/>
  <c r="B17" i="2"/>
  <c r="E17" i="2" s="1"/>
  <c r="F17" i="2" s="1"/>
  <c r="F18" i="2" s="1"/>
  <c r="F19" i="2" s="1"/>
  <c r="F20" i="2" s="1"/>
  <c r="B26" i="3"/>
  <c r="E26" i="3" s="1"/>
  <c r="B25" i="3"/>
  <c r="E25" i="3" s="1"/>
  <c r="B24" i="3"/>
  <c r="E24" i="3" s="1"/>
  <c r="B23" i="3"/>
  <c r="E23" i="3" s="1"/>
  <c r="B22" i="3"/>
  <c r="E22" i="3" s="1"/>
  <c r="B21" i="3"/>
  <c r="E21" i="3" s="1"/>
  <c r="B20" i="3"/>
  <c r="E20" i="3" s="1"/>
  <c r="B19" i="3"/>
  <c r="E19" i="3" s="1"/>
  <c r="B18" i="3"/>
  <c r="E18" i="3" s="1"/>
  <c r="B17" i="3"/>
  <c r="E17" i="3" s="1"/>
  <c r="F17" i="3" s="1"/>
  <c r="F18" i="3" s="1"/>
  <c r="F19" i="3" s="1"/>
  <c r="F20" i="3" s="1"/>
  <c r="F21" i="3" s="1"/>
  <c r="F22" i="3" s="1"/>
  <c r="F23" i="3" s="1"/>
  <c r="F21" i="2" l="1"/>
  <c r="F22" i="2" s="1"/>
  <c r="F23" i="2" s="1"/>
  <c r="F24" i="2" s="1"/>
  <c r="F25" i="2" s="1"/>
  <c r="F26" i="2" s="1"/>
  <c r="F24" i="3"/>
  <c r="F25" i="3" s="1"/>
  <c r="F26" i="3" s="1"/>
</calcChain>
</file>

<file path=xl/sharedStrings.xml><?xml version="1.0" encoding="utf-8"?>
<sst xmlns="http://schemas.openxmlformats.org/spreadsheetml/2006/main" count="124" uniqueCount="53">
  <si>
    <t>保守估計</t>
  </si>
  <si>
    <t>保守估計獲利表</t>
  </si>
  <si>
    <t>年度</t>
  </si>
  <si>
    <t>代理商數（人）</t>
  </si>
  <si>
    <t>代理商利潤（萬元）</t>
  </si>
  <si>
    <t>旗艦店數（間）</t>
  </si>
  <si>
    <t>旗艦店回流利潤（萬元）</t>
  </si>
  <si>
    <t>集團總毛利（萬元）</t>
  </si>
  <si>
    <t>第一年</t>
  </si>
  <si>
    <t>第二年</t>
  </si>
  <si>
    <t>第三年</t>
  </si>
  <si>
    <t>第四年</t>
  </si>
  <si>
    <t>第五年</t>
  </si>
  <si>
    <t>第六年</t>
  </si>
  <si>
    <t>第七年</t>
  </si>
  <si>
    <t>第八年</t>
  </si>
  <si>
    <t>第九年</t>
  </si>
  <si>
    <t>第十年</t>
  </si>
  <si>
    <t>十年毛利、成本與稅後淨利</t>
  </si>
  <si>
    <t>毛利合計（萬元）</t>
  </si>
  <si>
    <t>營運成本（萬元）</t>
  </si>
  <si>
    <t>營所稅 20%（萬元）</t>
  </si>
  <si>
    <t>稅後淨利（萬元）</t>
  </si>
  <si>
    <t>累計淨利（萬元）</t>
  </si>
  <si>
    <t>第1年</t>
  </si>
  <si>
    <t>第2年</t>
  </si>
  <si>
    <t>第3年</t>
  </si>
  <si>
    <t>第4年</t>
  </si>
  <si>
    <t>第5年</t>
  </si>
  <si>
    <t>第6年</t>
  </si>
  <si>
    <t>第7年</t>
  </si>
  <si>
    <t>第8年</t>
  </si>
  <si>
    <t>第9年</t>
  </si>
  <si>
    <t>第10年</t>
  </si>
  <si>
    <t>*定義：初期找到三個行銷業務頭，一起努力行銷與業務，可以擴增的代理商人數</t>
  </si>
  <si>
    <t>*定義：只有陳仲豪自己去作行銷業務開發、沒有代理商要加入，從頭到尾陳仲豪一個人可以做到的代理商數字</t>
  </si>
  <si>
    <t>*定義：第一年找到核心決策團隊(不含靈性面的人)，包含行銷團隊與領導人可以產出的結果(資金到位並且建立獨特優勢的狀況下極有可能發生)</t>
  </si>
  <si>
    <t>營運成本明細結構（以第1~5年為例，不含稅）</t>
  </si>
  <si>
    <t>成本項目</t>
  </si>
  <si>
    <t>第1年（萬元）</t>
  </si>
  <si>
    <t>第2年（萬元）</t>
  </si>
  <si>
    <t>第3年（萬元）</t>
  </si>
  <si>
    <t>第4年（萬元）</t>
  </si>
  <si>
    <t>第5年（萬元）</t>
  </si>
  <si>
    <t>總部核心人事(14職稱+醫護團隊)</t>
  </si>
  <si>
    <t>實習生生活費+初期培訓費</t>
  </si>
  <si>
    <t>第一間旗艦店(僅第一年，含裝潢)</t>
  </si>
  <si>
    <t>行銷與自媒體</t>
  </si>
  <si>
    <t>代理商管理系統維護</t>
  </si>
  <si>
    <t>新批次練習生培訓</t>
  </si>
  <si>
    <t>前期一次性資產與準備金</t>
  </si>
  <si>
    <t>營所稅(20%)</t>
  </si>
  <si>
    <t>合計(含稅)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</si>
</sst>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##"/>
    <numFmt numFmtId="177" formatCode="\+#,##0.##;\-#,##0.##;0"/>
  </numFmts>
  <fonts count="1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b/>
      <sz val="13.95"/>
      <color rgb="FFFFFFFF"/>
      <name val="微軟正黑體"/>
      <family val="2"/>
      <charset val="136"/>
    </font>
    <font>
      <sz val="16"/>
      <color theme="1"/>
      <name val="微軟正黑體"/>
      <family val="2"/>
      <charset val="136"/>
    </font>
    <font>
      <sz val="14"/>
      <color rgb="FF2D2D2D"/>
      <name val="微軟正黑體"/>
      <family val="2"/>
      <charset val="136"/>
    </font>
    <font>
      <b/>
      <sz val="14"/>
      <color rgb="FFB40000"/>
      <name val="微軟正黑體"/>
      <family val="2"/>
      <charset val="136"/>
    </font>
    <font>
      <b/>
      <sz val="14"/>
      <color rgb="FF007800"/>
      <name val="微軟正黑體"/>
      <family val="2"/>
      <charset val="136"/>
    </font>
    <font>
      <sz val="14"/>
      <color theme="1"/>
      <name val="微軟正黑體"/>
      <family val="2"/>
      <charset val="136"/>
    </font>
    <font>
      <b/>
      <sz val="14"/>
      <color rgb="FFFFFFFF"/>
      <name val="微軟正黑體"/>
      <family val="2"/>
      <charset val="136"/>
    </font>
    <font>
      <b/>
      <sz val="14"/>
      <color rgb="FF1F1F1F"/>
      <name val="微軟正黑體"/>
      <family val="2"/>
      <charset val="136"/>
    </font>
    <font>
      <sz val="14"/>
      <color rgb="FF1F1F1F"/>
      <name val="微軟正黑體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rgb="FF1B3A5C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C4C7C5"/>
      </right>
      <top/>
      <bottom style="thin">
        <color rgb="FFC4C7C5"/>
      </bottom>
      <diagonal/>
    </border>
    <border>
      <left style="thin">
        <color rgb="FFC4C7C5"/>
      </left>
      <right style="thin">
        <color rgb="FFC4C7C5"/>
      </right>
      <top/>
      <bottom style="thin">
        <color rgb="FFC4C7C5"/>
      </bottom>
      <diagonal/>
    </border>
    <border>
      <left/>
      <right style="thin">
        <color rgb="FFC4C7C5"/>
      </right>
      <top style="thin">
        <color rgb="FFC4C7C5"/>
      </top>
      <bottom style="thin">
        <color rgb="FFC4C7C5"/>
      </bottom>
      <diagonal/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176" fontId="5" fillId="0" borderId="0" xfId="0" applyNumberFormat="1" applyFont="1" applyAlignment="1">
      <alignment horizontal="center" vertical="center" wrapText="1"/>
    </xf>
    <xf numFmtId="177" fontId="6" fillId="0" borderId="0" xfId="0" applyNumberFormat="1" applyFont="1" applyAlignment="1">
      <alignment horizontal="center" vertical="center" wrapText="1"/>
    </xf>
    <xf numFmtId="177" fontId="5" fillId="0" borderId="0" xfId="0" applyNumberFormat="1" applyFont="1" applyAlignment="1">
      <alignment horizontal="center" vertical="center" wrapText="1"/>
    </xf>
    <xf numFmtId="177" fontId="7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5" fillId="3" borderId="0" xfId="0" applyFont="1" applyFill="1" applyAlignment="1">
      <alignment horizontal="left" vertical="center" wrapText="1"/>
    </xf>
    <xf numFmtId="176" fontId="5" fillId="3" borderId="0" xfId="0" applyNumberFormat="1" applyFont="1" applyFill="1" applyAlignment="1">
      <alignment horizontal="center" vertical="center" wrapText="1"/>
    </xf>
    <xf numFmtId="0" fontId="8" fillId="0" borderId="0" xfId="0" applyFont="1">
      <alignment vertical="center"/>
    </xf>
    <xf numFmtId="0" fontId="9" fillId="2" borderId="3" xfId="0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3" fontId="11" fillId="0" borderId="5" xfId="0" applyNumberFormat="1" applyFont="1" applyBorder="1" applyAlignment="1">
      <alignment horizontal="center" vertical="center" wrapText="1"/>
    </xf>
    <xf numFmtId="176" fontId="11" fillId="0" borderId="5" xfId="0" applyNumberFormat="1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3" fontId="11" fillId="0" borderId="7" xfId="0" applyNumberFormat="1" applyFont="1" applyBorder="1" applyAlignment="1">
      <alignment horizontal="center" vertical="center" wrapText="1"/>
    </xf>
    <xf numFmtId="176" fontId="11" fillId="0" borderId="7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0" fillId="0" borderId="2" xfId="0" applyBorder="1" applyAlignment="1"/>
    <xf numFmtId="0" fontId="4" fillId="0" borderId="0" xfId="0" applyFont="1" applyAlignment="1">
      <alignment horizontal="center" vertical="center"/>
    </xf>
    <xf numFmtId="0" fontId="2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zh-TW" altLang="en-US"/>
              <a:t>三種情境比較 </a:t>
            </a:r>
            <a:r>
              <a:rPr lang="en-US" altLang="zh-TW"/>
              <a:t>— </a:t>
            </a:r>
            <a:r>
              <a:rPr lang="zh-TW" altLang="en-US"/>
              <a:t>上表（代理商數 </a:t>
            </a:r>
            <a:r>
              <a:rPr lang="en-US"/>
              <a:t>vs </a:t>
            </a:r>
            <a:r>
              <a:rPr lang="zh-TW" altLang="en-US"/>
              <a:t>集團毛利）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保守估計－代理商數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保守估計!$B$4:$B$13</c:f>
              <c:numCache>
                <c:formatCode>#,##0</c:formatCode>
                <c:ptCount val="10"/>
                <c:pt idx="0">
                  <c:v>200</c:v>
                </c:pt>
                <c:pt idx="1">
                  <c:v>1000</c:v>
                </c:pt>
                <c:pt idx="2">
                  <c:v>3000</c:v>
                </c:pt>
                <c:pt idx="3">
                  <c:v>10000</c:v>
                </c:pt>
                <c:pt idx="4">
                  <c:v>20000</c:v>
                </c:pt>
                <c:pt idx="5">
                  <c:v>50000</c:v>
                </c:pt>
                <c:pt idx="6">
                  <c:v>100000</c:v>
                </c:pt>
                <c:pt idx="7">
                  <c:v>200000</c:v>
                </c:pt>
                <c:pt idx="8">
                  <c:v>500000</c:v>
                </c:pt>
                <c:pt idx="9">
                  <c:v>1000000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95B-49ED-8002-EE15FB807219}"/>
            </c:ext>
          </c:extLst>
        </c:ser>
        <c:ser>
          <c:idx val="1"/>
          <c:order val="1"/>
          <c:tx>
            <c:v>客觀估計－代理商數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客觀估計!$B$4:$B$13</c:f>
              <c:numCache>
                <c:formatCode>#,##0</c:formatCode>
                <c:ptCount val="10"/>
                <c:pt idx="0">
                  <c:v>200</c:v>
                </c:pt>
                <c:pt idx="1">
                  <c:v>1000</c:v>
                </c:pt>
                <c:pt idx="2">
                  <c:v>5000</c:v>
                </c:pt>
                <c:pt idx="3">
                  <c:v>20000</c:v>
                </c:pt>
                <c:pt idx="4">
                  <c:v>50000</c:v>
                </c:pt>
                <c:pt idx="5">
                  <c:v>200000</c:v>
                </c:pt>
                <c:pt idx="6">
                  <c:v>500000</c:v>
                </c:pt>
                <c:pt idx="7">
                  <c:v>2000000</c:v>
                </c:pt>
                <c:pt idx="8">
                  <c:v>3000000</c:v>
                </c:pt>
                <c:pt idx="9">
                  <c:v>5000000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95B-49ED-8002-EE15FB807219}"/>
            </c:ext>
          </c:extLst>
        </c:ser>
        <c:ser>
          <c:idx val="2"/>
          <c:order val="2"/>
          <c:tx>
            <c:v>樂觀估計－代理商數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樂觀估計!$B$4:$B$13</c:f>
              <c:numCache>
                <c:formatCode>#,##0</c:formatCode>
                <c:ptCount val="10"/>
                <c:pt idx="0">
                  <c:v>200</c:v>
                </c:pt>
                <c:pt idx="1">
                  <c:v>2000</c:v>
                </c:pt>
                <c:pt idx="2">
                  <c:v>20000</c:v>
                </c:pt>
                <c:pt idx="3">
                  <c:v>200000</c:v>
                </c:pt>
                <c:pt idx="4">
                  <c:v>1000000</c:v>
                </c:pt>
                <c:pt idx="5">
                  <c:v>2000000</c:v>
                </c:pt>
                <c:pt idx="6">
                  <c:v>5000000</c:v>
                </c:pt>
                <c:pt idx="7">
                  <c:v>10000000</c:v>
                </c:pt>
                <c:pt idx="8">
                  <c:v>20000000</c:v>
                </c:pt>
                <c:pt idx="9">
                  <c:v>50000000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195B-49ED-8002-EE15FB8072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lineChart>
        <c:grouping val="standard"/>
        <c:varyColors val="1"/>
        <c:ser>
          <c:idx val="3"/>
          <c:order val="3"/>
          <c:tx>
            <c:v>保守估計－集團毛利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保守估計!$F$4:$F$13</c:f>
              <c:numCache>
                <c:formatCode>#,##0.##</c:formatCode>
                <c:ptCount val="10"/>
                <c:pt idx="0">
                  <c:v>360</c:v>
                </c:pt>
                <c:pt idx="1">
                  <c:v>1500</c:v>
                </c:pt>
                <c:pt idx="2">
                  <c:v>8100</c:v>
                </c:pt>
                <c:pt idx="3">
                  <c:v>17400</c:v>
                </c:pt>
                <c:pt idx="4">
                  <c:v>42000</c:v>
                </c:pt>
                <c:pt idx="5">
                  <c:v>87000</c:v>
                </c:pt>
                <c:pt idx="6">
                  <c:v>150000</c:v>
                </c:pt>
                <c:pt idx="7">
                  <c:v>240000</c:v>
                </c:pt>
                <c:pt idx="8">
                  <c:v>390000</c:v>
                </c:pt>
                <c:pt idx="9">
                  <c:v>660000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195B-49ED-8002-EE15FB807219}"/>
            </c:ext>
          </c:extLst>
        </c:ser>
        <c:ser>
          <c:idx val="4"/>
          <c:order val="4"/>
          <c:tx>
            <c:v>客觀估計－集團毛利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客觀估計!$F$4:$F$13</c:f>
              <c:numCache>
                <c:formatCode>#,##0.##</c:formatCode>
                <c:ptCount val="10"/>
                <c:pt idx="0">
                  <c:v>660</c:v>
                </c:pt>
                <c:pt idx="1">
                  <c:v>5100</c:v>
                </c:pt>
                <c:pt idx="2">
                  <c:v>15900</c:v>
                </c:pt>
                <c:pt idx="3">
                  <c:v>34800</c:v>
                </c:pt>
                <c:pt idx="4">
                  <c:v>87000</c:v>
                </c:pt>
                <c:pt idx="5">
                  <c:v>300000</c:v>
                </c:pt>
                <c:pt idx="6">
                  <c:v>630000</c:v>
                </c:pt>
                <c:pt idx="7">
                  <c:v>1800000</c:v>
                </c:pt>
                <c:pt idx="8">
                  <c:v>3300000</c:v>
                </c:pt>
                <c:pt idx="9">
                  <c:v>6300000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195B-49ED-8002-EE15FB807219}"/>
            </c:ext>
          </c:extLst>
        </c:ser>
        <c:ser>
          <c:idx val="5"/>
          <c:order val="5"/>
          <c:tx>
            <c:v>樂觀估計－集團毛利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樂觀估計!$F$4:$F$13</c:f>
              <c:numCache>
                <c:formatCode>#,##0.##</c:formatCode>
                <c:ptCount val="10"/>
                <c:pt idx="0">
                  <c:v>720</c:v>
                </c:pt>
                <c:pt idx="1">
                  <c:v>8400</c:v>
                </c:pt>
                <c:pt idx="2">
                  <c:v>36000</c:v>
                </c:pt>
                <c:pt idx="3">
                  <c:v>192000</c:v>
                </c:pt>
                <c:pt idx="4">
                  <c:v>840000</c:v>
                </c:pt>
                <c:pt idx="5">
                  <c:v>1680000</c:v>
                </c:pt>
                <c:pt idx="6">
                  <c:v>4200000</c:v>
                </c:pt>
                <c:pt idx="7">
                  <c:v>8400000</c:v>
                </c:pt>
                <c:pt idx="8">
                  <c:v>16800000</c:v>
                </c:pt>
                <c:pt idx="9">
                  <c:v>42000000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195B-49ED-8002-EE15FB8072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2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年度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代理商數（人）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  <c:valAx>
        <c:axId val="200"/>
        <c:scaling>
          <c:orientation val="minMax"/>
        </c:scaling>
        <c:delete val="1"/>
        <c:axPos val="r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集團總毛利（萬元）</a:t>
                </a:r>
              </a:p>
            </c:rich>
          </c:tx>
          <c:overlay val="1"/>
        </c:title>
        <c:numFmt formatCode="#,##0.##" sourceLinked="1"/>
        <c:majorTickMark val="none"/>
        <c:minorTickMark val="none"/>
        <c:tickLblPos val="nextTo"/>
        <c:crossAx val="10"/>
        <c:crosses val="max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zh-TW" altLang="en-US"/>
              <a:t>三種情境比較 </a:t>
            </a:r>
            <a:r>
              <a:rPr lang="en-US" altLang="zh-TW"/>
              <a:t>— </a:t>
            </a:r>
            <a:r>
              <a:rPr lang="zh-TW" altLang="en-US"/>
              <a:t>下表（毛利 </a:t>
            </a:r>
            <a:r>
              <a:rPr lang="en-US"/>
              <a:t>vs </a:t>
            </a:r>
            <a:r>
              <a:rPr lang="zh-TW" altLang="en-US"/>
              <a:t>稅後淨利）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保守估計－毛利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保守估計!$B$17:$B$26</c:f>
              <c:numCache>
                <c:formatCode>#,##0.##</c:formatCode>
                <c:ptCount val="10"/>
                <c:pt idx="0">
                  <c:v>360</c:v>
                </c:pt>
                <c:pt idx="1">
                  <c:v>1500</c:v>
                </c:pt>
                <c:pt idx="2">
                  <c:v>8100</c:v>
                </c:pt>
                <c:pt idx="3">
                  <c:v>17400</c:v>
                </c:pt>
                <c:pt idx="4">
                  <c:v>42000</c:v>
                </c:pt>
                <c:pt idx="5">
                  <c:v>87000</c:v>
                </c:pt>
                <c:pt idx="6">
                  <c:v>150000</c:v>
                </c:pt>
                <c:pt idx="7">
                  <c:v>240000</c:v>
                </c:pt>
                <c:pt idx="8">
                  <c:v>390000</c:v>
                </c:pt>
                <c:pt idx="9">
                  <c:v>660000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F0B-4B36-9705-DCB1D1C1E42B}"/>
            </c:ext>
          </c:extLst>
        </c:ser>
        <c:ser>
          <c:idx val="1"/>
          <c:order val="1"/>
          <c:tx>
            <c:v>客觀估計－毛利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客觀估計!$B$17:$B$26</c:f>
              <c:numCache>
                <c:formatCode>#,##0.##</c:formatCode>
                <c:ptCount val="10"/>
                <c:pt idx="0">
                  <c:v>660</c:v>
                </c:pt>
                <c:pt idx="1">
                  <c:v>5100</c:v>
                </c:pt>
                <c:pt idx="2">
                  <c:v>15900</c:v>
                </c:pt>
                <c:pt idx="3">
                  <c:v>34800</c:v>
                </c:pt>
                <c:pt idx="4">
                  <c:v>87000</c:v>
                </c:pt>
                <c:pt idx="5">
                  <c:v>300000</c:v>
                </c:pt>
                <c:pt idx="6">
                  <c:v>630000</c:v>
                </c:pt>
                <c:pt idx="7">
                  <c:v>1800000</c:v>
                </c:pt>
                <c:pt idx="8">
                  <c:v>3300000</c:v>
                </c:pt>
                <c:pt idx="9">
                  <c:v>6300000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F0B-4B36-9705-DCB1D1C1E42B}"/>
            </c:ext>
          </c:extLst>
        </c:ser>
        <c:ser>
          <c:idx val="2"/>
          <c:order val="2"/>
          <c:tx>
            <c:v>樂觀估計－毛利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樂觀估計!$B$17:$B$26</c:f>
              <c:numCache>
                <c:formatCode>#,##0.##</c:formatCode>
                <c:ptCount val="10"/>
                <c:pt idx="0">
                  <c:v>720</c:v>
                </c:pt>
                <c:pt idx="1">
                  <c:v>8400</c:v>
                </c:pt>
                <c:pt idx="2">
                  <c:v>36000</c:v>
                </c:pt>
                <c:pt idx="3">
                  <c:v>192000</c:v>
                </c:pt>
                <c:pt idx="4">
                  <c:v>840000</c:v>
                </c:pt>
                <c:pt idx="5">
                  <c:v>1680000</c:v>
                </c:pt>
                <c:pt idx="6">
                  <c:v>4200000</c:v>
                </c:pt>
                <c:pt idx="7">
                  <c:v>8400000</c:v>
                </c:pt>
                <c:pt idx="8">
                  <c:v>16800000</c:v>
                </c:pt>
                <c:pt idx="9">
                  <c:v>42000000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6F0B-4B36-9705-DCB1D1C1E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100"/>
      </c:lineChart>
      <c:lineChart>
        <c:grouping val="standard"/>
        <c:varyColors val="1"/>
        <c:ser>
          <c:idx val="3"/>
          <c:order val="3"/>
          <c:tx>
            <c:v>保守估計－稅後淨利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保守估計!$E$17:$E$26</c:f>
              <c:numCache>
                <c:formatCode>\+#,##0.##;\-#,##0.##;0</c:formatCode>
                <c:ptCount val="10"/>
                <c:pt idx="0">
                  <c:v>-20240</c:v>
                </c:pt>
                <c:pt idx="1">
                  <c:v>-880</c:v>
                </c:pt>
                <c:pt idx="2">
                  <c:v>4580</c:v>
                </c:pt>
                <c:pt idx="3">
                  <c:v>12480</c:v>
                </c:pt>
                <c:pt idx="4">
                  <c:v>28415</c:v>
                </c:pt>
                <c:pt idx="5">
                  <c:v>62800</c:v>
                </c:pt>
                <c:pt idx="6">
                  <c:v>117900</c:v>
                </c:pt>
                <c:pt idx="7">
                  <c:v>199400</c:v>
                </c:pt>
                <c:pt idx="8">
                  <c:v>340800</c:v>
                </c:pt>
                <c:pt idx="9">
                  <c:v>599900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6F0B-4B36-9705-DCB1D1C1E42B}"/>
            </c:ext>
          </c:extLst>
        </c:ser>
        <c:ser>
          <c:idx val="4"/>
          <c:order val="4"/>
          <c:tx>
            <c:v>客觀估計－稅後淨利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客觀估計!$E$17:$E$26</c:f>
              <c:numCache>
                <c:formatCode>\+#,##0.##;\-#,##0.##;0</c:formatCode>
                <c:ptCount val="10"/>
                <c:pt idx="0">
                  <c:v>-19940</c:v>
                </c:pt>
                <c:pt idx="1">
                  <c:v>2720</c:v>
                </c:pt>
                <c:pt idx="2">
                  <c:v>12380</c:v>
                </c:pt>
                <c:pt idx="3">
                  <c:v>26384</c:v>
                </c:pt>
                <c:pt idx="4">
                  <c:v>67980</c:v>
                </c:pt>
                <c:pt idx="5">
                  <c:v>265100</c:v>
                </c:pt>
                <c:pt idx="6">
                  <c:v>582700</c:v>
                </c:pt>
                <c:pt idx="7">
                  <c:v>1739200</c:v>
                </c:pt>
                <c:pt idx="8">
                  <c:v>3225700</c:v>
                </c:pt>
                <c:pt idx="9">
                  <c:v>6208500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6F0B-4B36-9705-DCB1D1C1E42B}"/>
            </c:ext>
          </c:extLst>
        </c:ser>
        <c:ser>
          <c:idx val="5"/>
          <c:order val="5"/>
          <c:tx>
            <c:v>樂觀估計－稅後淨利</c:v>
          </c:tx>
          <c:spPr>
            <a:ln>
              <a:prstDash val="solid"/>
            </a:ln>
          </c:spPr>
          <c:marker>
            <c:symbol val="none"/>
          </c:marker>
          <c:val>
            <c:numRef>
              <c:f>樂觀估計!$E$17:$E$26</c:f>
              <c:numCache>
                <c:formatCode>\+#,##0.##;\-#,##0.##;0</c:formatCode>
                <c:ptCount val="10"/>
                <c:pt idx="0">
                  <c:v>-19880</c:v>
                </c:pt>
                <c:pt idx="1">
                  <c:v>6020</c:v>
                </c:pt>
                <c:pt idx="2">
                  <c:v>32480</c:v>
                </c:pt>
                <c:pt idx="3">
                  <c:v>180400</c:v>
                </c:pt>
                <c:pt idx="4">
                  <c:v>814780</c:v>
                </c:pt>
                <c:pt idx="5">
                  <c:v>1637000</c:v>
                </c:pt>
                <c:pt idx="6">
                  <c:v>4142700</c:v>
                </c:pt>
                <c:pt idx="7">
                  <c:v>8325700</c:v>
                </c:pt>
                <c:pt idx="8">
                  <c:v>16709500</c:v>
                </c:pt>
                <c:pt idx="9">
                  <c:v>41888500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6F0B-4B36-9705-DCB1D1C1E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"/>
        <c:axId val="2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年度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毛利合計（萬元）</a:t>
                </a:r>
              </a:p>
            </c:rich>
          </c:tx>
          <c:overlay val="1"/>
        </c:title>
        <c:numFmt formatCode="#,##0.##" sourceLinked="1"/>
        <c:majorTickMark val="none"/>
        <c:minorTickMark val="none"/>
        <c:tickLblPos val="nextTo"/>
        <c:crossAx val="10"/>
        <c:crosses val="autoZero"/>
        <c:crossBetween val="between"/>
      </c:valAx>
      <c:valAx>
        <c:axId val="200"/>
        <c:scaling>
          <c:orientation val="minMax"/>
        </c:scaling>
        <c:delete val="1"/>
        <c:axPos val="r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稅後淨利（萬元）</a:t>
                </a:r>
              </a:p>
            </c:rich>
          </c:tx>
          <c:overlay val="1"/>
        </c:title>
        <c:numFmt formatCode="\+#,##0.##;\-#,##0.##;0" sourceLinked="1"/>
        <c:majorTickMark val="none"/>
        <c:minorTickMark val="none"/>
        <c:tickLblPos val="nextTo"/>
        <c:crossAx val="10"/>
        <c:crosses val="max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zh-TW" altLang="en-US"/>
              <a:t>三種情境比較 </a:t>
            </a:r>
            <a:r>
              <a:rPr lang="en-US" altLang="zh-TW"/>
              <a:t>— </a:t>
            </a:r>
            <a:r>
              <a:rPr lang="zh-TW" altLang="en-US"/>
              <a:t>下表（累計淨利）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保守估計－累計淨利</c:v>
          </c:tx>
          <c:spPr>
            <a:ln>
              <a:prstDash val="solid"/>
            </a:ln>
          </c:spPr>
          <c:invertIfNegative val="1"/>
          <c:val>
            <c:numRef>
              <c:f>保守估計!$F$17:$F$26</c:f>
              <c:numCache>
                <c:formatCode>\+#,##0.##;\-#,##0.##;0</c:formatCode>
                <c:ptCount val="10"/>
                <c:pt idx="0">
                  <c:v>-20240</c:v>
                </c:pt>
                <c:pt idx="1">
                  <c:v>-21120</c:v>
                </c:pt>
                <c:pt idx="2">
                  <c:v>-16540</c:v>
                </c:pt>
                <c:pt idx="3">
                  <c:v>-4060</c:v>
                </c:pt>
                <c:pt idx="4">
                  <c:v>24355</c:v>
                </c:pt>
                <c:pt idx="5">
                  <c:v>87155</c:v>
                </c:pt>
                <c:pt idx="6">
                  <c:v>205055</c:v>
                </c:pt>
                <c:pt idx="7">
                  <c:v>404455</c:v>
                </c:pt>
                <c:pt idx="8">
                  <c:v>745255</c:v>
                </c:pt>
                <c:pt idx="9">
                  <c:v>1345155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66-4121-8B80-23A157BDAD89}"/>
            </c:ext>
          </c:extLst>
        </c:ser>
        <c:ser>
          <c:idx val="1"/>
          <c:order val="1"/>
          <c:tx>
            <c:v>客觀估計－累計淨利</c:v>
          </c:tx>
          <c:spPr>
            <a:ln>
              <a:prstDash val="solid"/>
            </a:ln>
          </c:spPr>
          <c:invertIfNegative val="1"/>
          <c:val>
            <c:numRef>
              <c:f>客觀估計!$F$17:$F$26</c:f>
              <c:numCache>
                <c:formatCode>\+#,##0.##;\-#,##0.##;0</c:formatCode>
                <c:ptCount val="10"/>
                <c:pt idx="0">
                  <c:v>-19940</c:v>
                </c:pt>
                <c:pt idx="1">
                  <c:v>-17220</c:v>
                </c:pt>
                <c:pt idx="2">
                  <c:v>-4840</c:v>
                </c:pt>
                <c:pt idx="3">
                  <c:v>21544</c:v>
                </c:pt>
                <c:pt idx="4">
                  <c:v>89524</c:v>
                </c:pt>
                <c:pt idx="5">
                  <c:v>354624</c:v>
                </c:pt>
                <c:pt idx="6">
                  <c:v>937324</c:v>
                </c:pt>
                <c:pt idx="7">
                  <c:v>2676524</c:v>
                </c:pt>
                <c:pt idx="8">
                  <c:v>5902224</c:v>
                </c:pt>
                <c:pt idx="9">
                  <c:v>12110724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66-4121-8B80-23A157BDAD89}"/>
            </c:ext>
          </c:extLst>
        </c:ser>
        <c:ser>
          <c:idx val="2"/>
          <c:order val="2"/>
          <c:tx>
            <c:v>樂觀估計－累計淨利</c:v>
          </c:tx>
          <c:spPr>
            <a:ln>
              <a:prstDash val="solid"/>
            </a:ln>
          </c:spPr>
          <c:invertIfNegative val="1"/>
          <c:val>
            <c:numRef>
              <c:f>樂觀估計!$F$17:$F$26</c:f>
              <c:numCache>
                <c:formatCode>\+#,##0.##;\-#,##0.##;0</c:formatCode>
                <c:ptCount val="10"/>
                <c:pt idx="0">
                  <c:v>-19880</c:v>
                </c:pt>
                <c:pt idx="1">
                  <c:v>-13860</c:v>
                </c:pt>
                <c:pt idx="2">
                  <c:v>18620</c:v>
                </c:pt>
                <c:pt idx="3">
                  <c:v>199020</c:v>
                </c:pt>
                <c:pt idx="4">
                  <c:v>1013800</c:v>
                </c:pt>
                <c:pt idx="5">
                  <c:v>2650800</c:v>
                </c:pt>
                <c:pt idx="6">
                  <c:v>6793500</c:v>
                </c:pt>
                <c:pt idx="7">
                  <c:v>15119200</c:v>
                </c:pt>
                <c:pt idx="8">
                  <c:v>31828700</c:v>
                </c:pt>
                <c:pt idx="9">
                  <c:v>73717200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666-4121-8B80-23A157BDAD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年度</a:t>
                </a:r>
              </a:p>
            </c:rich>
          </c:tx>
          <c:overlay val="1"/>
        </c:title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zh-TW" altLang="en-US"/>
                  <a:t>累計淨利（萬元）</a:t>
                </a:r>
              </a:p>
            </c:rich>
          </c:tx>
          <c:overlay val="1"/>
        </c:title>
        <c:numFmt formatCode="\+#,##0.##;\-#,##0.##;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19416666666672"/>
          <c:y val="0.87129999999999996"/>
          <c:w val="0.12580583333333334"/>
          <c:h val="0.127585"/>
        </c:manualLayout>
      </c:layout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800000" cy="64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34</xdr:row>
      <xdr:rowOff>0</xdr:rowOff>
    </xdr:from>
    <xdr:ext cx="10800000" cy="64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67</xdr:row>
      <xdr:rowOff>0</xdr:rowOff>
    </xdr:from>
    <xdr:ext cx="10800000" cy="540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Q86" sqref="Q86"/>
    </sheetView>
  </sheetViews>
  <sheetFormatPr defaultRowHeight="16.5" x14ac:dyDescent="0.25"/>
  <sheetData/>
  <phoneticPr fontId="1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8"/>
  <sheetViews>
    <sheetView tabSelected="1" topLeftCell="A2" workbookViewId="0">
      <selection activeCell="B17" sqref="B17"/>
    </sheetView>
  </sheetViews>
  <sheetFormatPr defaultRowHeight="15.75" x14ac:dyDescent="0.25"/>
  <cols>
    <col min="1" max="1" width="8.875" style="1" bestFit="1" customWidth="1"/>
    <col min="2" max="2" width="21.875" style="1" bestFit="1" customWidth="1"/>
    <col min="3" max="3" width="24.5" style="1" bestFit="1" customWidth="1"/>
    <col min="4" max="4" width="25.375" style="1" bestFit="1" customWidth="1"/>
    <col min="5" max="5" width="28.625" style="1" customWidth="1"/>
    <col min="6" max="6" width="24.125" style="1" customWidth="1"/>
    <col min="7" max="10" width="9" style="1" customWidth="1"/>
    <col min="11" max="16384" width="9" style="1"/>
  </cols>
  <sheetData>
    <row r="1" spans="1:6" ht="30" customHeight="1" x14ac:dyDescent="0.25">
      <c r="A1" s="23" t="s">
        <v>0</v>
      </c>
      <c r="B1" s="24"/>
      <c r="C1" s="24"/>
      <c r="D1" s="24"/>
      <c r="E1" s="24"/>
      <c r="F1" s="24"/>
    </row>
    <row r="2" spans="1:6" ht="30" customHeight="1" x14ac:dyDescent="0.25">
      <c r="A2" s="21" t="s">
        <v>1</v>
      </c>
      <c r="B2" s="22"/>
      <c r="C2" s="22"/>
      <c r="D2" s="22"/>
      <c r="E2" s="22"/>
      <c r="F2" s="22"/>
    </row>
    <row r="3" spans="1:6" ht="18.75" customHeight="1" x14ac:dyDescent="0.25">
      <c r="A3" s="14" t="s">
        <v>2</v>
      </c>
      <c r="B3" s="14" t="s">
        <v>3</v>
      </c>
      <c r="C3" s="14" t="s">
        <v>4</v>
      </c>
      <c r="D3" s="14" t="s">
        <v>5</v>
      </c>
      <c r="E3" s="14" t="s">
        <v>6</v>
      </c>
      <c r="F3" s="14" t="s">
        <v>7</v>
      </c>
    </row>
    <row r="4" spans="1:6" ht="22.5" customHeight="1" x14ac:dyDescent="0.25">
      <c r="A4" s="15" t="s">
        <v>8</v>
      </c>
      <c r="B4" s="16">
        <v>200</v>
      </c>
      <c r="C4" s="17">
        <v>60</v>
      </c>
      <c r="D4" s="16">
        <v>1</v>
      </c>
      <c r="E4" s="17">
        <v>300</v>
      </c>
      <c r="F4" s="17">
        <v>360</v>
      </c>
    </row>
    <row r="5" spans="1:6" ht="22.5" customHeight="1" x14ac:dyDescent="0.25">
      <c r="A5" s="18" t="s">
        <v>9</v>
      </c>
      <c r="B5" s="19">
        <v>1000</v>
      </c>
      <c r="C5" s="20">
        <v>300</v>
      </c>
      <c r="D5" s="19">
        <v>1</v>
      </c>
      <c r="E5" s="20">
        <v>1200</v>
      </c>
      <c r="F5" s="20">
        <v>1500</v>
      </c>
    </row>
    <row r="6" spans="1:6" ht="22.5" customHeight="1" x14ac:dyDescent="0.25">
      <c r="A6" s="18" t="s">
        <v>10</v>
      </c>
      <c r="B6" s="19">
        <v>3000</v>
      </c>
      <c r="C6" s="20">
        <v>900</v>
      </c>
      <c r="D6" s="19">
        <v>6</v>
      </c>
      <c r="E6" s="20">
        <v>7200</v>
      </c>
      <c r="F6" s="20">
        <v>8100</v>
      </c>
    </row>
    <row r="7" spans="1:6" ht="22.5" customHeight="1" x14ac:dyDescent="0.25">
      <c r="A7" s="18" t="s">
        <v>11</v>
      </c>
      <c r="B7" s="19">
        <v>10000</v>
      </c>
      <c r="C7" s="20">
        <v>3000</v>
      </c>
      <c r="D7" s="19">
        <v>12</v>
      </c>
      <c r="E7" s="20">
        <v>14400</v>
      </c>
      <c r="F7" s="20">
        <v>17400</v>
      </c>
    </row>
    <row r="8" spans="1:6" ht="22.5" customHeight="1" x14ac:dyDescent="0.25">
      <c r="A8" s="18" t="s">
        <v>12</v>
      </c>
      <c r="B8" s="19">
        <v>20000</v>
      </c>
      <c r="C8" s="20">
        <v>6000</v>
      </c>
      <c r="D8" s="19">
        <v>30</v>
      </c>
      <c r="E8" s="20">
        <v>36000</v>
      </c>
      <c r="F8" s="20">
        <v>42000</v>
      </c>
    </row>
    <row r="9" spans="1:6" ht="22.5" customHeight="1" x14ac:dyDescent="0.25">
      <c r="A9" s="18" t="s">
        <v>13</v>
      </c>
      <c r="B9" s="19">
        <v>50000</v>
      </c>
      <c r="C9" s="20">
        <v>15000</v>
      </c>
      <c r="D9" s="19">
        <v>60</v>
      </c>
      <c r="E9" s="20">
        <v>72000</v>
      </c>
      <c r="F9" s="20">
        <v>87000</v>
      </c>
    </row>
    <row r="10" spans="1:6" ht="22.5" customHeight="1" x14ac:dyDescent="0.25">
      <c r="A10" s="18" t="s">
        <v>14</v>
      </c>
      <c r="B10" s="19">
        <v>100000</v>
      </c>
      <c r="C10" s="20">
        <v>30000</v>
      </c>
      <c r="D10" s="19">
        <v>100</v>
      </c>
      <c r="E10" s="20">
        <v>120000</v>
      </c>
      <c r="F10" s="20">
        <v>150000</v>
      </c>
    </row>
    <row r="11" spans="1:6" ht="22.5" customHeight="1" x14ac:dyDescent="0.25">
      <c r="A11" s="18" t="s">
        <v>15</v>
      </c>
      <c r="B11" s="19">
        <v>200000</v>
      </c>
      <c r="C11" s="20">
        <v>60000</v>
      </c>
      <c r="D11" s="19">
        <v>150</v>
      </c>
      <c r="E11" s="20">
        <v>180000</v>
      </c>
      <c r="F11" s="20">
        <v>240000</v>
      </c>
    </row>
    <row r="12" spans="1:6" ht="22.5" customHeight="1" x14ac:dyDescent="0.25">
      <c r="A12" s="18" t="s">
        <v>16</v>
      </c>
      <c r="B12" s="19">
        <v>500000</v>
      </c>
      <c r="C12" s="20">
        <v>150000</v>
      </c>
      <c r="D12" s="19">
        <v>200</v>
      </c>
      <c r="E12" s="20">
        <v>240000</v>
      </c>
      <c r="F12" s="20">
        <v>390000</v>
      </c>
    </row>
    <row r="13" spans="1:6" ht="22.5" customHeight="1" x14ac:dyDescent="0.25">
      <c r="A13" s="18" t="s">
        <v>17</v>
      </c>
      <c r="B13" s="19">
        <v>1000000</v>
      </c>
      <c r="C13" s="20">
        <v>300000</v>
      </c>
      <c r="D13" s="19">
        <v>300</v>
      </c>
      <c r="E13" s="20">
        <v>360000</v>
      </c>
      <c r="F13" s="20">
        <v>660000</v>
      </c>
    </row>
    <row r="15" spans="1:6" ht="30" customHeight="1" x14ac:dyDescent="0.25">
      <c r="A15" s="23" t="s">
        <v>18</v>
      </c>
      <c r="B15" s="24"/>
      <c r="C15" s="24"/>
      <c r="D15" s="24"/>
      <c r="E15" s="24"/>
      <c r="F15" s="24"/>
    </row>
    <row r="16" spans="1:6" ht="30" customHeight="1" x14ac:dyDescent="0.25">
      <c r="A16" s="2" t="s">
        <v>2</v>
      </c>
      <c r="B16" s="2" t="s">
        <v>19</v>
      </c>
      <c r="C16" s="2" t="s">
        <v>20</v>
      </c>
      <c r="D16" s="2" t="s">
        <v>21</v>
      </c>
      <c r="E16" s="2" t="s">
        <v>22</v>
      </c>
      <c r="F16" s="2" t="s">
        <v>23</v>
      </c>
    </row>
    <row r="17" spans="1:6" ht="22.5" customHeight="1" x14ac:dyDescent="0.25">
      <c r="A17" s="5" t="s">
        <v>24</v>
      </c>
      <c r="B17" s="6">
        <f t="shared" ref="B17:B26" si="0">F4</f>
        <v>360</v>
      </c>
      <c r="C17" s="6">
        <v>20600</v>
      </c>
      <c r="D17" s="6">
        <v>0</v>
      </c>
      <c r="E17" s="7">
        <f t="shared" ref="E17:E26" si="1">B17-C17-D17</f>
        <v>-20240</v>
      </c>
      <c r="F17" s="8">
        <f>E17</f>
        <v>-20240</v>
      </c>
    </row>
    <row r="18" spans="1:6" ht="22.5" customHeight="1" x14ac:dyDescent="0.25">
      <c r="A18" s="5" t="s">
        <v>25</v>
      </c>
      <c r="B18" s="6">
        <f t="shared" si="0"/>
        <v>1500</v>
      </c>
      <c r="C18" s="6">
        <v>2380</v>
      </c>
      <c r="D18" s="6">
        <v>0</v>
      </c>
      <c r="E18" s="7">
        <f t="shared" si="1"/>
        <v>-880</v>
      </c>
      <c r="F18" s="8">
        <f t="shared" ref="F18:F26" si="2">F17+E18</f>
        <v>-21120</v>
      </c>
    </row>
    <row r="19" spans="1:6" ht="22.5" customHeight="1" x14ac:dyDescent="0.25">
      <c r="A19" s="5" t="s">
        <v>26</v>
      </c>
      <c r="B19" s="6">
        <f t="shared" si="0"/>
        <v>8100</v>
      </c>
      <c r="C19" s="6">
        <v>3520</v>
      </c>
      <c r="D19" s="6">
        <v>0</v>
      </c>
      <c r="E19" s="9">
        <f t="shared" si="1"/>
        <v>4580</v>
      </c>
      <c r="F19" s="8">
        <f t="shared" si="2"/>
        <v>-16540</v>
      </c>
    </row>
    <row r="20" spans="1:6" ht="22.5" customHeight="1" x14ac:dyDescent="0.25">
      <c r="A20" s="5" t="s">
        <v>27</v>
      </c>
      <c r="B20" s="6">
        <f t="shared" si="0"/>
        <v>17400</v>
      </c>
      <c r="C20" s="6">
        <v>4920</v>
      </c>
      <c r="D20" s="6">
        <v>0</v>
      </c>
      <c r="E20" s="9">
        <f t="shared" si="1"/>
        <v>12480</v>
      </c>
      <c r="F20" s="8">
        <f t="shared" si="2"/>
        <v>-4060</v>
      </c>
    </row>
    <row r="21" spans="1:6" ht="22.5" customHeight="1" x14ac:dyDescent="0.25">
      <c r="A21" s="5" t="s">
        <v>28</v>
      </c>
      <c r="B21" s="6">
        <f t="shared" si="0"/>
        <v>42000</v>
      </c>
      <c r="C21" s="6">
        <v>6320</v>
      </c>
      <c r="D21" s="6">
        <v>7265</v>
      </c>
      <c r="E21" s="9">
        <f t="shared" si="1"/>
        <v>28415</v>
      </c>
      <c r="F21" s="8">
        <f t="shared" si="2"/>
        <v>24355</v>
      </c>
    </row>
    <row r="22" spans="1:6" ht="22.5" customHeight="1" x14ac:dyDescent="0.25">
      <c r="A22" s="5" t="s">
        <v>29</v>
      </c>
      <c r="B22" s="6">
        <f t="shared" si="0"/>
        <v>87000</v>
      </c>
      <c r="C22" s="6">
        <v>7700</v>
      </c>
      <c r="D22" s="6">
        <v>16500</v>
      </c>
      <c r="E22" s="9">
        <f t="shared" si="1"/>
        <v>62800</v>
      </c>
      <c r="F22" s="8">
        <f t="shared" si="2"/>
        <v>87155</v>
      </c>
    </row>
    <row r="23" spans="1:6" ht="22.5" customHeight="1" x14ac:dyDescent="0.25">
      <c r="A23" s="5" t="s">
        <v>30</v>
      </c>
      <c r="B23" s="6">
        <f t="shared" si="0"/>
        <v>150000</v>
      </c>
      <c r="C23" s="6">
        <v>9200</v>
      </c>
      <c r="D23" s="6">
        <v>22900</v>
      </c>
      <c r="E23" s="9">
        <f t="shared" si="1"/>
        <v>117900</v>
      </c>
      <c r="F23" s="8">
        <f t="shared" si="2"/>
        <v>205055</v>
      </c>
    </row>
    <row r="24" spans="1:6" ht="22.5" customHeight="1" x14ac:dyDescent="0.25">
      <c r="A24" s="5" t="s">
        <v>31</v>
      </c>
      <c r="B24" s="6">
        <f t="shared" si="0"/>
        <v>240000</v>
      </c>
      <c r="C24" s="6">
        <v>10600</v>
      </c>
      <c r="D24" s="6">
        <v>30000</v>
      </c>
      <c r="E24" s="9">
        <f t="shared" si="1"/>
        <v>199400</v>
      </c>
      <c r="F24" s="8">
        <f t="shared" si="2"/>
        <v>404455</v>
      </c>
    </row>
    <row r="25" spans="1:6" ht="22.5" customHeight="1" x14ac:dyDescent="0.25">
      <c r="A25" s="5" t="s">
        <v>32</v>
      </c>
      <c r="B25" s="6">
        <f t="shared" si="0"/>
        <v>390000</v>
      </c>
      <c r="C25" s="6">
        <v>12000</v>
      </c>
      <c r="D25" s="6">
        <v>37200</v>
      </c>
      <c r="E25" s="9">
        <f t="shared" si="1"/>
        <v>340800</v>
      </c>
      <c r="F25" s="8">
        <f t="shared" si="2"/>
        <v>745255</v>
      </c>
    </row>
    <row r="26" spans="1:6" ht="22.5" customHeight="1" x14ac:dyDescent="0.25">
      <c r="A26" s="5" t="s">
        <v>33</v>
      </c>
      <c r="B26" s="6">
        <f t="shared" si="0"/>
        <v>660000</v>
      </c>
      <c r="C26" s="6">
        <v>13400</v>
      </c>
      <c r="D26" s="6">
        <v>46700</v>
      </c>
      <c r="E26" s="9">
        <f t="shared" si="1"/>
        <v>599900</v>
      </c>
      <c r="F26" s="8">
        <f t="shared" si="2"/>
        <v>1345155</v>
      </c>
    </row>
    <row r="28" spans="1:6" ht="18.75" customHeight="1" x14ac:dyDescent="0.25">
      <c r="A28" s="13" t="s">
        <v>35</v>
      </c>
    </row>
  </sheetData>
  <mergeCells count="3">
    <mergeCell ref="A2:F2"/>
    <mergeCell ref="A1:F1"/>
    <mergeCell ref="A15:F15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8"/>
  <sheetViews>
    <sheetView workbookViewId="0">
      <selection activeCell="H16" sqref="H16"/>
    </sheetView>
  </sheetViews>
  <sheetFormatPr defaultRowHeight="15.75" x14ac:dyDescent="0.25"/>
  <cols>
    <col min="1" max="1" width="8.875" style="1" bestFit="1" customWidth="1"/>
    <col min="2" max="2" width="21.875" style="1" bestFit="1" customWidth="1"/>
    <col min="3" max="3" width="24.5" style="1" bestFit="1" customWidth="1"/>
    <col min="4" max="4" width="25.375" style="1" bestFit="1" customWidth="1"/>
    <col min="5" max="5" width="28.625" style="1" customWidth="1"/>
    <col min="6" max="6" width="24.125" style="1" customWidth="1"/>
    <col min="7" max="10" width="9" style="1" customWidth="1"/>
    <col min="11" max="16384" width="9" style="1"/>
  </cols>
  <sheetData>
    <row r="1" spans="1:6" ht="30" customHeight="1" x14ac:dyDescent="0.25">
      <c r="A1" s="23" t="s">
        <v>0</v>
      </c>
      <c r="B1" s="24"/>
      <c r="C1" s="24"/>
      <c r="D1" s="24"/>
      <c r="E1" s="24"/>
      <c r="F1" s="24"/>
    </row>
    <row r="2" spans="1:6" ht="30" customHeight="1" x14ac:dyDescent="0.25">
      <c r="A2" s="21" t="s">
        <v>1</v>
      </c>
      <c r="B2" s="22"/>
      <c r="C2" s="22"/>
      <c r="D2" s="22"/>
      <c r="E2" s="22"/>
      <c r="F2" s="22"/>
    </row>
    <row r="3" spans="1:6" ht="18.75" customHeight="1" x14ac:dyDescent="0.25">
      <c r="A3" s="14" t="s">
        <v>2</v>
      </c>
      <c r="B3" s="14" t="s">
        <v>3</v>
      </c>
      <c r="C3" s="14" t="s">
        <v>4</v>
      </c>
      <c r="D3" s="14" t="s">
        <v>5</v>
      </c>
      <c r="E3" s="14" t="s">
        <v>6</v>
      </c>
      <c r="F3" s="14" t="s">
        <v>7</v>
      </c>
    </row>
    <row r="4" spans="1:6" ht="22.5" customHeight="1" x14ac:dyDescent="0.25">
      <c r="A4" s="15" t="s">
        <v>8</v>
      </c>
      <c r="B4" s="16">
        <v>200</v>
      </c>
      <c r="C4" s="17">
        <v>60</v>
      </c>
      <c r="D4" s="16">
        <v>1</v>
      </c>
      <c r="E4" s="17">
        <v>600</v>
      </c>
      <c r="F4" s="17">
        <v>660</v>
      </c>
    </row>
    <row r="5" spans="1:6" ht="22.5" customHeight="1" x14ac:dyDescent="0.25">
      <c r="A5" s="18" t="s">
        <v>9</v>
      </c>
      <c r="B5" s="19">
        <v>1000</v>
      </c>
      <c r="C5" s="20">
        <v>300</v>
      </c>
      <c r="D5" s="19">
        <v>2</v>
      </c>
      <c r="E5" s="20">
        <v>4800</v>
      </c>
      <c r="F5" s="20">
        <v>5100</v>
      </c>
    </row>
    <row r="6" spans="1:6" ht="22.5" customHeight="1" x14ac:dyDescent="0.25">
      <c r="A6" s="18" t="s">
        <v>10</v>
      </c>
      <c r="B6" s="19">
        <v>5000</v>
      </c>
      <c r="C6" s="20">
        <v>1500</v>
      </c>
      <c r="D6" s="19">
        <v>6</v>
      </c>
      <c r="E6" s="20">
        <v>14400</v>
      </c>
      <c r="F6" s="20">
        <v>15900</v>
      </c>
    </row>
    <row r="7" spans="1:6" ht="22.5" customHeight="1" x14ac:dyDescent="0.25">
      <c r="A7" s="18" t="s">
        <v>11</v>
      </c>
      <c r="B7" s="19">
        <v>20000</v>
      </c>
      <c r="C7" s="20">
        <v>6000</v>
      </c>
      <c r="D7" s="19">
        <v>12</v>
      </c>
      <c r="E7" s="20">
        <v>28800</v>
      </c>
      <c r="F7" s="20">
        <v>34800</v>
      </c>
    </row>
    <row r="8" spans="1:6" ht="22.5" customHeight="1" x14ac:dyDescent="0.25">
      <c r="A8" s="18" t="s">
        <v>12</v>
      </c>
      <c r="B8" s="19">
        <v>50000</v>
      </c>
      <c r="C8" s="20">
        <v>15000</v>
      </c>
      <c r="D8" s="19">
        <v>30</v>
      </c>
      <c r="E8" s="20">
        <v>72000</v>
      </c>
      <c r="F8" s="20">
        <v>87000</v>
      </c>
    </row>
    <row r="9" spans="1:6" ht="22.5" customHeight="1" x14ac:dyDescent="0.25">
      <c r="A9" s="18" t="s">
        <v>13</v>
      </c>
      <c r="B9" s="19">
        <v>200000</v>
      </c>
      <c r="C9" s="20">
        <v>60000</v>
      </c>
      <c r="D9" s="19">
        <v>100</v>
      </c>
      <c r="E9" s="20">
        <v>240000</v>
      </c>
      <c r="F9" s="20">
        <v>300000</v>
      </c>
    </row>
    <row r="10" spans="1:6" ht="22.5" customHeight="1" x14ac:dyDescent="0.25">
      <c r="A10" s="18" t="s">
        <v>14</v>
      </c>
      <c r="B10" s="19">
        <v>500000</v>
      </c>
      <c r="C10" s="20">
        <v>150000</v>
      </c>
      <c r="D10" s="19">
        <v>200</v>
      </c>
      <c r="E10" s="20">
        <v>480000</v>
      </c>
      <c r="F10" s="20">
        <v>630000</v>
      </c>
    </row>
    <row r="11" spans="1:6" ht="22.5" customHeight="1" x14ac:dyDescent="0.25">
      <c r="A11" s="18" t="s">
        <v>15</v>
      </c>
      <c r="B11" s="19">
        <v>2000000</v>
      </c>
      <c r="C11" s="20">
        <v>600000</v>
      </c>
      <c r="D11" s="19">
        <v>500</v>
      </c>
      <c r="E11" s="20">
        <v>1200000</v>
      </c>
      <c r="F11" s="20">
        <v>1800000</v>
      </c>
    </row>
    <row r="12" spans="1:6" ht="22.5" customHeight="1" x14ac:dyDescent="0.25">
      <c r="A12" s="18" t="s">
        <v>16</v>
      </c>
      <c r="B12" s="19">
        <v>3000000</v>
      </c>
      <c r="C12" s="20">
        <v>900000</v>
      </c>
      <c r="D12" s="19">
        <v>1000</v>
      </c>
      <c r="E12" s="20">
        <v>2400000</v>
      </c>
      <c r="F12" s="20">
        <v>3300000</v>
      </c>
    </row>
    <row r="13" spans="1:6" ht="22.5" customHeight="1" x14ac:dyDescent="0.25">
      <c r="A13" s="18" t="s">
        <v>17</v>
      </c>
      <c r="B13" s="19">
        <v>5000000</v>
      </c>
      <c r="C13" s="20">
        <v>1500000</v>
      </c>
      <c r="D13" s="19">
        <v>2000</v>
      </c>
      <c r="E13" s="20">
        <v>4800000</v>
      </c>
      <c r="F13" s="20">
        <v>6300000</v>
      </c>
    </row>
    <row r="15" spans="1:6" ht="30" customHeight="1" x14ac:dyDescent="0.25">
      <c r="A15" s="23" t="s">
        <v>18</v>
      </c>
      <c r="B15" s="24"/>
      <c r="C15" s="24"/>
      <c r="D15" s="24"/>
      <c r="E15" s="24"/>
      <c r="F15" s="24"/>
    </row>
    <row r="16" spans="1:6" ht="30" customHeight="1" x14ac:dyDescent="0.25">
      <c r="A16" s="4" t="s">
        <v>2</v>
      </c>
      <c r="B16" s="4" t="s">
        <v>19</v>
      </c>
      <c r="C16" s="4" t="s">
        <v>20</v>
      </c>
      <c r="D16" s="4" t="s">
        <v>21</v>
      </c>
      <c r="E16" s="4" t="s">
        <v>22</v>
      </c>
      <c r="F16" s="4" t="s">
        <v>23</v>
      </c>
    </row>
    <row r="17" spans="1:6" ht="22.5" customHeight="1" x14ac:dyDescent="0.25">
      <c r="A17" s="5" t="s">
        <v>24</v>
      </c>
      <c r="B17" s="6">
        <f t="shared" ref="B17:B26" si="0">F4</f>
        <v>660</v>
      </c>
      <c r="C17" s="6">
        <v>20600</v>
      </c>
      <c r="D17" s="6">
        <v>0</v>
      </c>
      <c r="E17" s="7">
        <f t="shared" ref="E17:E26" si="1">B17-C17-D17</f>
        <v>-19940</v>
      </c>
      <c r="F17" s="8">
        <f>E17</f>
        <v>-19940</v>
      </c>
    </row>
    <row r="18" spans="1:6" ht="22.5" customHeight="1" x14ac:dyDescent="0.25">
      <c r="A18" s="5" t="s">
        <v>25</v>
      </c>
      <c r="B18" s="6">
        <f t="shared" si="0"/>
        <v>5100</v>
      </c>
      <c r="C18" s="6">
        <v>2380</v>
      </c>
      <c r="D18" s="6">
        <v>0</v>
      </c>
      <c r="E18" s="9">
        <f t="shared" si="1"/>
        <v>2720</v>
      </c>
      <c r="F18" s="8">
        <f t="shared" ref="F18:F26" si="2">F17+E18</f>
        <v>-17220</v>
      </c>
    </row>
    <row r="19" spans="1:6" ht="22.5" customHeight="1" x14ac:dyDescent="0.25">
      <c r="A19" s="5" t="s">
        <v>26</v>
      </c>
      <c r="B19" s="6">
        <f t="shared" si="0"/>
        <v>15900</v>
      </c>
      <c r="C19" s="6">
        <v>3520</v>
      </c>
      <c r="D19" s="6">
        <v>0</v>
      </c>
      <c r="E19" s="9">
        <f t="shared" si="1"/>
        <v>12380</v>
      </c>
      <c r="F19" s="8">
        <f t="shared" si="2"/>
        <v>-4840</v>
      </c>
    </row>
    <row r="20" spans="1:6" ht="22.5" customHeight="1" x14ac:dyDescent="0.25">
      <c r="A20" s="5" t="s">
        <v>27</v>
      </c>
      <c r="B20" s="6">
        <f t="shared" si="0"/>
        <v>34800</v>
      </c>
      <c r="C20" s="6">
        <v>4920</v>
      </c>
      <c r="D20" s="6">
        <v>3496</v>
      </c>
      <c r="E20" s="9">
        <f t="shared" si="1"/>
        <v>26384</v>
      </c>
      <c r="F20" s="8">
        <f t="shared" si="2"/>
        <v>21544</v>
      </c>
    </row>
    <row r="21" spans="1:6" ht="22.5" customHeight="1" x14ac:dyDescent="0.25">
      <c r="A21" s="5" t="s">
        <v>28</v>
      </c>
      <c r="B21" s="6">
        <f t="shared" si="0"/>
        <v>87000</v>
      </c>
      <c r="C21" s="6">
        <v>6320</v>
      </c>
      <c r="D21" s="6">
        <v>12700</v>
      </c>
      <c r="E21" s="9">
        <f t="shared" si="1"/>
        <v>67980</v>
      </c>
      <c r="F21" s="8">
        <f t="shared" si="2"/>
        <v>89524</v>
      </c>
    </row>
    <row r="22" spans="1:6" ht="22.5" customHeight="1" x14ac:dyDescent="0.25">
      <c r="A22" s="5" t="s">
        <v>29</v>
      </c>
      <c r="B22" s="6">
        <f t="shared" si="0"/>
        <v>300000</v>
      </c>
      <c r="C22" s="6">
        <v>7700</v>
      </c>
      <c r="D22" s="6">
        <v>27200</v>
      </c>
      <c r="E22" s="9">
        <f t="shared" si="1"/>
        <v>265100</v>
      </c>
      <c r="F22" s="8">
        <f t="shared" si="2"/>
        <v>354624</v>
      </c>
    </row>
    <row r="23" spans="1:6" ht="22.5" customHeight="1" x14ac:dyDescent="0.25">
      <c r="A23" s="5" t="s">
        <v>30</v>
      </c>
      <c r="B23" s="6">
        <f t="shared" si="0"/>
        <v>630000</v>
      </c>
      <c r="C23" s="6">
        <v>9200</v>
      </c>
      <c r="D23" s="6">
        <v>38100</v>
      </c>
      <c r="E23" s="9">
        <f t="shared" si="1"/>
        <v>582700</v>
      </c>
      <c r="F23" s="8">
        <f t="shared" si="2"/>
        <v>937324</v>
      </c>
    </row>
    <row r="24" spans="1:6" ht="22.5" customHeight="1" x14ac:dyDescent="0.25">
      <c r="A24" s="5" t="s">
        <v>31</v>
      </c>
      <c r="B24" s="6">
        <f t="shared" si="0"/>
        <v>1800000</v>
      </c>
      <c r="C24" s="6">
        <v>10600</v>
      </c>
      <c r="D24" s="6">
        <v>50200</v>
      </c>
      <c r="E24" s="9">
        <f t="shared" si="1"/>
        <v>1739200</v>
      </c>
      <c r="F24" s="8">
        <f t="shared" si="2"/>
        <v>2676524</v>
      </c>
    </row>
    <row r="25" spans="1:6" ht="22.5" customHeight="1" x14ac:dyDescent="0.25">
      <c r="A25" s="5" t="s">
        <v>32</v>
      </c>
      <c r="B25" s="6">
        <f t="shared" si="0"/>
        <v>3300000</v>
      </c>
      <c r="C25" s="6">
        <v>12000</v>
      </c>
      <c r="D25" s="6">
        <v>62300</v>
      </c>
      <c r="E25" s="9">
        <f t="shared" si="1"/>
        <v>3225700</v>
      </c>
      <c r="F25" s="8">
        <f t="shared" si="2"/>
        <v>5902224</v>
      </c>
    </row>
    <row r="26" spans="1:6" ht="22.5" customHeight="1" x14ac:dyDescent="0.25">
      <c r="A26" s="5" t="s">
        <v>33</v>
      </c>
      <c r="B26" s="6">
        <f t="shared" si="0"/>
        <v>6300000</v>
      </c>
      <c r="C26" s="6">
        <v>13400</v>
      </c>
      <c r="D26" s="6">
        <v>78100</v>
      </c>
      <c r="E26" s="9">
        <f t="shared" si="1"/>
        <v>6208500</v>
      </c>
      <c r="F26" s="8">
        <f t="shared" si="2"/>
        <v>12110724</v>
      </c>
    </row>
    <row r="28" spans="1:6" ht="18.75" customHeight="1" x14ac:dyDescent="0.25">
      <c r="A28" s="13" t="s">
        <v>34</v>
      </c>
    </row>
  </sheetData>
  <mergeCells count="3">
    <mergeCell ref="A2:F2"/>
    <mergeCell ref="A1:F1"/>
    <mergeCell ref="A15:F15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8"/>
  <sheetViews>
    <sheetView topLeftCell="A2" workbookViewId="0">
      <selection activeCell="H16" sqref="H16"/>
    </sheetView>
  </sheetViews>
  <sheetFormatPr defaultRowHeight="15.75" x14ac:dyDescent="0.25"/>
  <cols>
    <col min="1" max="1" width="8.875" style="1" bestFit="1" customWidth="1"/>
    <col min="2" max="2" width="21.875" style="1" bestFit="1" customWidth="1"/>
    <col min="3" max="3" width="24.25" style="1" customWidth="1"/>
    <col min="4" max="4" width="25.375" style="1" bestFit="1" customWidth="1"/>
    <col min="5" max="5" width="28.625" style="1" customWidth="1"/>
    <col min="6" max="6" width="24.125" style="1" customWidth="1"/>
    <col min="7" max="10" width="9" style="1" customWidth="1"/>
    <col min="11" max="16384" width="9" style="1"/>
  </cols>
  <sheetData>
    <row r="1" spans="1:6" ht="30" customHeight="1" x14ac:dyDescent="0.25">
      <c r="A1" s="23" t="s">
        <v>0</v>
      </c>
      <c r="B1" s="24"/>
      <c r="C1" s="24"/>
      <c r="D1" s="24"/>
      <c r="E1" s="24"/>
      <c r="F1" s="24"/>
    </row>
    <row r="2" spans="1:6" ht="30" customHeight="1" x14ac:dyDescent="0.25">
      <c r="A2" s="21" t="s">
        <v>1</v>
      </c>
      <c r="B2" s="22"/>
      <c r="C2" s="22"/>
      <c r="D2" s="22"/>
      <c r="E2" s="22"/>
      <c r="F2" s="22"/>
    </row>
    <row r="3" spans="1:6" ht="19.5" customHeight="1" x14ac:dyDescent="0.25">
      <c r="A3" s="14" t="s">
        <v>2</v>
      </c>
      <c r="B3" s="14" t="s">
        <v>3</v>
      </c>
      <c r="C3" s="14" t="s">
        <v>4</v>
      </c>
      <c r="D3" s="14" t="s">
        <v>5</v>
      </c>
      <c r="E3" s="14" t="s">
        <v>6</v>
      </c>
      <c r="F3" s="14" t="s">
        <v>7</v>
      </c>
    </row>
    <row r="4" spans="1:6" ht="22.5" customHeight="1" x14ac:dyDescent="0.25">
      <c r="A4" s="15" t="s">
        <v>8</v>
      </c>
      <c r="B4" s="16">
        <v>200</v>
      </c>
      <c r="C4" s="17">
        <v>120</v>
      </c>
      <c r="D4" s="16">
        <v>1</v>
      </c>
      <c r="E4" s="17">
        <v>600</v>
      </c>
      <c r="F4" s="17">
        <v>720</v>
      </c>
    </row>
    <row r="5" spans="1:6" ht="22.5" customHeight="1" x14ac:dyDescent="0.25">
      <c r="A5" s="18" t="s">
        <v>9</v>
      </c>
      <c r="B5" s="19">
        <v>2000</v>
      </c>
      <c r="C5" s="20">
        <v>1200</v>
      </c>
      <c r="D5" s="19">
        <v>3</v>
      </c>
      <c r="E5" s="20">
        <v>7200</v>
      </c>
      <c r="F5" s="20">
        <v>8400</v>
      </c>
    </row>
    <row r="6" spans="1:6" ht="22.5" customHeight="1" x14ac:dyDescent="0.25">
      <c r="A6" s="18" t="s">
        <v>10</v>
      </c>
      <c r="B6" s="19">
        <v>20000</v>
      </c>
      <c r="C6" s="20">
        <v>12000</v>
      </c>
      <c r="D6" s="19">
        <v>10</v>
      </c>
      <c r="E6" s="20">
        <v>24000</v>
      </c>
      <c r="F6" s="20">
        <v>36000</v>
      </c>
    </row>
    <row r="7" spans="1:6" ht="22.5" customHeight="1" x14ac:dyDescent="0.25">
      <c r="A7" s="18" t="s">
        <v>11</v>
      </c>
      <c r="B7" s="19">
        <v>200000</v>
      </c>
      <c r="C7" s="20">
        <v>120000</v>
      </c>
      <c r="D7" s="19">
        <v>30</v>
      </c>
      <c r="E7" s="20">
        <v>72000</v>
      </c>
      <c r="F7" s="20">
        <v>192000</v>
      </c>
    </row>
    <row r="8" spans="1:6" ht="22.5" customHeight="1" x14ac:dyDescent="0.25">
      <c r="A8" s="18" t="s">
        <v>12</v>
      </c>
      <c r="B8" s="19">
        <v>1000000</v>
      </c>
      <c r="C8" s="20">
        <v>600000</v>
      </c>
      <c r="D8" s="19">
        <v>100</v>
      </c>
      <c r="E8" s="20">
        <v>240000</v>
      </c>
      <c r="F8" s="20">
        <v>840000</v>
      </c>
    </row>
    <row r="9" spans="1:6" ht="22.5" customHeight="1" x14ac:dyDescent="0.25">
      <c r="A9" s="18" t="s">
        <v>13</v>
      </c>
      <c r="B9" s="19">
        <v>2000000</v>
      </c>
      <c r="C9" s="20">
        <v>1200000</v>
      </c>
      <c r="D9" s="19">
        <v>200</v>
      </c>
      <c r="E9" s="20">
        <v>480000</v>
      </c>
      <c r="F9" s="20">
        <v>1680000</v>
      </c>
    </row>
    <row r="10" spans="1:6" ht="22.5" customHeight="1" x14ac:dyDescent="0.25">
      <c r="A10" s="18" t="s">
        <v>14</v>
      </c>
      <c r="B10" s="19">
        <v>5000000</v>
      </c>
      <c r="C10" s="20">
        <v>3000000</v>
      </c>
      <c r="D10" s="19">
        <v>500</v>
      </c>
      <c r="E10" s="20">
        <v>1200000</v>
      </c>
      <c r="F10" s="20">
        <v>4200000</v>
      </c>
    </row>
    <row r="11" spans="1:6" ht="22.5" customHeight="1" x14ac:dyDescent="0.25">
      <c r="A11" s="18" t="s">
        <v>15</v>
      </c>
      <c r="B11" s="19">
        <v>10000000</v>
      </c>
      <c r="C11" s="20">
        <v>6000000</v>
      </c>
      <c r="D11" s="19">
        <v>1000</v>
      </c>
      <c r="E11" s="20">
        <v>2400000</v>
      </c>
      <c r="F11" s="20">
        <v>8400000</v>
      </c>
    </row>
    <row r="12" spans="1:6" ht="22.5" customHeight="1" x14ac:dyDescent="0.25">
      <c r="A12" s="18" t="s">
        <v>16</v>
      </c>
      <c r="B12" s="19">
        <v>20000000</v>
      </c>
      <c r="C12" s="20">
        <v>12000000</v>
      </c>
      <c r="D12" s="19">
        <v>2000</v>
      </c>
      <c r="E12" s="20">
        <v>4800000</v>
      </c>
      <c r="F12" s="20">
        <v>16800000</v>
      </c>
    </row>
    <row r="13" spans="1:6" ht="22.5" customHeight="1" x14ac:dyDescent="0.25">
      <c r="A13" s="18" t="s">
        <v>17</v>
      </c>
      <c r="B13" s="19">
        <v>50000000</v>
      </c>
      <c r="C13" s="20">
        <v>30000000</v>
      </c>
      <c r="D13" s="19">
        <v>5000</v>
      </c>
      <c r="E13" s="20">
        <v>12000000</v>
      </c>
      <c r="F13" s="20">
        <v>42000000</v>
      </c>
    </row>
    <row r="15" spans="1:6" ht="30" customHeight="1" thickBot="1" x14ac:dyDescent="0.3">
      <c r="A15" s="23" t="s">
        <v>18</v>
      </c>
      <c r="B15" s="24"/>
      <c r="C15" s="24"/>
      <c r="D15" s="24"/>
      <c r="E15" s="24"/>
      <c r="F15" s="24"/>
    </row>
    <row r="16" spans="1:6" ht="30" customHeight="1" thickBot="1" x14ac:dyDescent="0.3">
      <c r="A16" s="3" t="s">
        <v>2</v>
      </c>
      <c r="B16" s="3" t="s">
        <v>19</v>
      </c>
      <c r="C16" s="3" t="s">
        <v>20</v>
      </c>
      <c r="D16" s="3" t="s">
        <v>21</v>
      </c>
      <c r="E16" s="3" t="s">
        <v>22</v>
      </c>
      <c r="F16" s="3" t="s">
        <v>23</v>
      </c>
    </row>
    <row r="17" spans="1:6" ht="22.5" customHeight="1" x14ac:dyDescent="0.25">
      <c r="A17" s="5" t="s">
        <v>24</v>
      </c>
      <c r="B17" s="6">
        <f t="shared" ref="B17:B26" si="0">F4</f>
        <v>720</v>
      </c>
      <c r="C17" s="6">
        <v>20600</v>
      </c>
      <c r="D17" s="6">
        <v>0</v>
      </c>
      <c r="E17" s="7">
        <f t="shared" ref="E17:E26" si="1">B17-C17-D17</f>
        <v>-19880</v>
      </c>
      <c r="F17" s="8">
        <f>E17</f>
        <v>-19880</v>
      </c>
    </row>
    <row r="18" spans="1:6" ht="22.5" customHeight="1" x14ac:dyDescent="0.25">
      <c r="A18" s="5" t="s">
        <v>25</v>
      </c>
      <c r="B18" s="6">
        <f t="shared" si="0"/>
        <v>8400</v>
      </c>
      <c r="C18" s="6">
        <v>2380</v>
      </c>
      <c r="D18" s="6">
        <v>0</v>
      </c>
      <c r="E18" s="9">
        <f t="shared" si="1"/>
        <v>6020</v>
      </c>
      <c r="F18" s="8">
        <f t="shared" ref="F18:F26" si="2">F17+E18</f>
        <v>-13860</v>
      </c>
    </row>
    <row r="19" spans="1:6" ht="22.5" customHeight="1" x14ac:dyDescent="0.25">
      <c r="A19" s="5" t="s">
        <v>26</v>
      </c>
      <c r="B19" s="6">
        <f t="shared" si="0"/>
        <v>36000</v>
      </c>
      <c r="C19" s="6">
        <v>3520</v>
      </c>
      <c r="D19" s="6">
        <v>0</v>
      </c>
      <c r="E19" s="9">
        <f t="shared" si="1"/>
        <v>32480</v>
      </c>
      <c r="F19" s="8">
        <f t="shared" si="2"/>
        <v>18620</v>
      </c>
    </row>
    <row r="20" spans="1:6" ht="22.5" customHeight="1" x14ac:dyDescent="0.25">
      <c r="A20" s="5" t="s">
        <v>27</v>
      </c>
      <c r="B20" s="6">
        <f t="shared" si="0"/>
        <v>192000</v>
      </c>
      <c r="C20" s="6">
        <v>4920</v>
      </c>
      <c r="D20" s="6">
        <v>6680</v>
      </c>
      <c r="E20" s="9">
        <f t="shared" si="1"/>
        <v>180400</v>
      </c>
      <c r="F20" s="8">
        <f t="shared" si="2"/>
        <v>199020</v>
      </c>
    </row>
    <row r="21" spans="1:6" ht="22.5" customHeight="1" x14ac:dyDescent="0.25">
      <c r="A21" s="5" t="s">
        <v>28</v>
      </c>
      <c r="B21" s="6">
        <f t="shared" si="0"/>
        <v>840000</v>
      </c>
      <c r="C21" s="6">
        <v>6320</v>
      </c>
      <c r="D21" s="6">
        <v>18900</v>
      </c>
      <c r="E21" s="9">
        <f t="shared" si="1"/>
        <v>814780</v>
      </c>
      <c r="F21" s="8">
        <f t="shared" si="2"/>
        <v>1013800</v>
      </c>
    </row>
    <row r="22" spans="1:6" ht="22.5" customHeight="1" x14ac:dyDescent="0.25">
      <c r="A22" s="5" t="s">
        <v>29</v>
      </c>
      <c r="B22" s="6">
        <f t="shared" si="0"/>
        <v>1680000</v>
      </c>
      <c r="C22" s="6">
        <v>7700</v>
      </c>
      <c r="D22" s="6">
        <v>35300</v>
      </c>
      <c r="E22" s="9">
        <f t="shared" si="1"/>
        <v>1637000</v>
      </c>
      <c r="F22" s="8">
        <f t="shared" si="2"/>
        <v>2650800</v>
      </c>
    </row>
    <row r="23" spans="1:6" ht="22.5" customHeight="1" x14ac:dyDescent="0.25">
      <c r="A23" s="5" t="s">
        <v>30</v>
      </c>
      <c r="B23" s="6">
        <f t="shared" si="0"/>
        <v>4200000</v>
      </c>
      <c r="C23" s="6">
        <v>9200</v>
      </c>
      <c r="D23" s="6">
        <v>48100</v>
      </c>
      <c r="E23" s="9">
        <f t="shared" si="1"/>
        <v>4142700</v>
      </c>
      <c r="F23" s="8">
        <f t="shared" si="2"/>
        <v>6793500</v>
      </c>
    </row>
    <row r="24" spans="1:6" ht="22.5" customHeight="1" x14ac:dyDescent="0.25">
      <c r="A24" s="5" t="s">
        <v>31</v>
      </c>
      <c r="B24" s="6">
        <f t="shared" si="0"/>
        <v>8400000</v>
      </c>
      <c r="C24" s="6">
        <v>10600</v>
      </c>
      <c r="D24" s="6">
        <v>63700</v>
      </c>
      <c r="E24" s="9">
        <f t="shared" si="1"/>
        <v>8325700</v>
      </c>
      <c r="F24" s="8">
        <f t="shared" si="2"/>
        <v>15119200</v>
      </c>
    </row>
    <row r="25" spans="1:6" ht="22.5" customHeight="1" x14ac:dyDescent="0.25">
      <c r="A25" s="5" t="s">
        <v>32</v>
      </c>
      <c r="B25" s="6">
        <f t="shared" si="0"/>
        <v>16800000</v>
      </c>
      <c r="C25" s="6">
        <v>12000</v>
      </c>
      <c r="D25" s="6">
        <v>78500</v>
      </c>
      <c r="E25" s="9">
        <f t="shared" si="1"/>
        <v>16709500</v>
      </c>
      <c r="F25" s="8">
        <f t="shared" si="2"/>
        <v>31828700</v>
      </c>
    </row>
    <row r="26" spans="1:6" ht="22.5" customHeight="1" x14ac:dyDescent="0.25">
      <c r="A26" s="5" t="s">
        <v>33</v>
      </c>
      <c r="B26" s="6">
        <f t="shared" si="0"/>
        <v>42000000</v>
      </c>
      <c r="C26" s="6">
        <v>13400</v>
      </c>
      <c r="D26" s="6">
        <v>98100</v>
      </c>
      <c r="E26" s="9">
        <f t="shared" si="1"/>
        <v>41888500</v>
      </c>
      <c r="F26" s="8">
        <f t="shared" si="2"/>
        <v>73717200</v>
      </c>
    </row>
    <row r="28" spans="1:6" ht="18.75" customHeight="1" x14ac:dyDescent="0.25">
      <c r="A28" s="13" t="s">
        <v>36</v>
      </c>
    </row>
  </sheetData>
  <mergeCells count="3">
    <mergeCell ref="A2:F2"/>
    <mergeCell ref="A1:F1"/>
    <mergeCell ref="A15:F15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1"/>
  <sheetViews>
    <sheetView workbookViewId="0">
      <selection activeCell="G6" sqref="G6"/>
    </sheetView>
  </sheetViews>
  <sheetFormatPr defaultRowHeight="15.75" x14ac:dyDescent="0.25"/>
  <cols>
    <col min="1" max="1" width="31.625" style="1" customWidth="1"/>
    <col min="2" max="6" width="21.25" style="1" customWidth="1"/>
    <col min="7" max="10" width="9" style="1" customWidth="1"/>
    <col min="11" max="16384" width="9" style="1"/>
  </cols>
  <sheetData>
    <row r="1" spans="1:6" ht="30" customHeight="1" thickBot="1" x14ac:dyDescent="0.3">
      <c r="A1" s="23" t="s">
        <v>37</v>
      </c>
      <c r="B1" s="24"/>
      <c r="C1" s="24"/>
      <c r="D1" s="24"/>
      <c r="E1" s="24"/>
      <c r="F1" s="24"/>
    </row>
    <row r="2" spans="1:6" ht="30" customHeight="1" thickBot="1" x14ac:dyDescent="0.3">
      <c r="A2" s="3" t="s">
        <v>38</v>
      </c>
      <c r="B2" s="3" t="s">
        <v>39</v>
      </c>
      <c r="C2" s="3" t="s">
        <v>40</v>
      </c>
      <c r="D2" s="3" t="s">
        <v>41</v>
      </c>
      <c r="E2" s="3" t="s">
        <v>42</v>
      </c>
      <c r="F2" s="3" t="s">
        <v>43</v>
      </c>
    </row>
    <row r="3" spans="1:6" ht="45" customHeight="1" x14ac:dyDescent="0.25">
      <c r="A3" s="10" t="s">
        <v>44</v>
      </c>
      <c r="B3" s="6">
        <v>1480</v>
      </c>
      <c r="C3" s="6">
        <v>1480</v>
      </c>
      <c r="D3" s="6">
        <v>1620</v>
      </c>
      <c r="E3" s="6">
        <v>1820</v>
      </c>
      <c r="F3" s="6">
        <v>2020</v>
      </c>
    </row>
    <row r="4" spans="1:6" ht="45" customHeight="1" x14ac:dyDescent="0.25">
      <c r="A4" s="10" t="s">
        <v>45</v>
      </c>
      <c r="B4" s="6">
        <v>8960</v>
      </c>
      <c r="C4" s="6">
        <v>0</v>
      </c>
      <c r="D4" s="6">
        <v>0</v>
      </c>
      <c r="E4" s="6">
        <v>0</v>
      </c>
      <c r="F4" s="6">
        <v>0</v>
      </c>
    </row>
    <row r="5" spans="1:6" ht="45" customHeight="1" x14ac:dyDescent="0.25">
      <c r="A5" s="10" t="s">
        <v>46</v>
      </c>
      <c r="B5" s="6">
        <v>0</v>
      </c>
      <c r="C5" s="6">
        <v>0</v>
      </c>
      <c r="D5" s="6">
        <v>0</v>
      </c>
      <c r="E5" s="6">
        <v>0</v>
      </c>
      <c r="F5" s="6">
        <v>0</v>
      </c>
    </row>
    <row r="6" spans="1:6" ht="45" customHeight="1" x14ac:dyDescent="0.25">
      <c r="A6" s="10" t="s">
        <v>47</v>
      </c>
      <c r="B6" s="6">
        <v>2000</v>
      </c>
      <c r="C6" s="6">
        <v>700</v>
      </c>
      <c r="D6" s="6">
        <v>900</v>
      </c>
      <c r="E6" s="6">
        <v>1100</v>
      </c>
      <c r="F6" s="6">
        <v>1300</v>
      </c>
    </row>
    <row r="7" spans="1:6" ht="45" customHeight="1" x14ac:dyDescent="0.25">
      <c r="A7" s="10" t="s">
        <v>48</v>
      </c>
      <c r="B7" s="6">
        <v>0</v>
      </c>
      <c r="C7" s="6">
        <v>200</v>
      </c>
      <c r="D7" s="6">
        <v>500</v>
      </c>
      <c r="E7" s="6">
        <v>1000</v>
      </c>
      <c r="F7" s="6">
        <v>1500</v>
      </c>
    </row>
    <row r="8" spans="1:6" ht="45" customHeight="1" x14ac:dyDescent="0.25">
      <c r="A8" s="10" t="s">
        <v>49</v>
      </c>
      <c r="B8" s="6">
        <v>0</v>
      </c>
      <c r="C8" s="6">
        <v>0</v>
      </c>
      <c r="D8" s="6">
        <v>500</v>
      </c>
      <c r="E8" s="6">
        <v>1000</v>
      </c>
      <c r="F8" s="6">
        <v>1500</v>
      </c>
    </row>
    <row r="9" spans="1:6" ht="45" customHeight="1" x14ac:dyDescent="0.25">
      <c r="A9" s="10" t="s">
        <v>50</v>
      </c>
      <c r="B9" s="6">
        <v>8180</v>
      </c>
      <c r="C9" s="6">
        <v>0</v>
      </c>
      <c r="D9" s="6">
        <v>0</v>
      </c>
      <c r="E9" s="6">
        <v>0</v>
      </c>
      <c r="F9" s="6">
        <v>0</v>
      </c>
    </row>
    <row r="10" spans="1:6" ht="45" customHeight="1" x14ac:dyDescent="0.25">
      <c r="A10" s="10" t="s">
        <v>51</v>
      </c>
      <c r="B10" s="6">
        <v>0</v>
      </c>
      <c r="C10" s="6">
        <v>0</v>
      </c>
      <c r="D10" s="6">
        <v>0</v>
      </c>
      <c r="E10" s="6">
        <v>0</v>
      </c>
      <c r="F10" s="6">
        <v>7265</v>
      </c>
    </row>
    <row r="11" spans="1:6" ht="45" customHeight="1" x14ac:dyDescent="0.25">
      <c r="A11" s="11" t="s">
        <v>52</v>
      </c>
      <c r="B11" s="12">
        <f>SUM(B3:B10)</f>
        <v>20620</v>
      </c>
      <c r="C11" s="12">
        <f>SUM(C3:C10)</f>
        <v>2380</v>
      </c>
      <c r="D11" s="12">
        <f>SUM(D3:D10)</f>
        <v>3520</v>
      </c>
      <c r="E11" s="12">
        <f>SUM(E3:E10)</f>
        <v>4920</v>
      </c>
      <c r="F11" s="12">
        <f>SUM(F3:F10)</f>
        <v>13585</v>
      </c>
    </row>
  </sheetData>
  <mergeCells count="1">
    <mergeCell ref="A1:F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圖表</vt:lpstr>
      <vt:lpstr>保守估計</vt:lpstr>
      <vt:lpstr>客觀估計</vt:lpstr>
      <vt:lpstr>樂觀估計</vt:lpstr>
      <vt:lpstr>成本明細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 Victor</dc:creator>
  <cp:lastModifiedBy>Chen Victor</cp:lastModifiedBy>
  <dcterms:created xsi:type="dcterms:W3CDTF">2026-07-10T12:10:56Z</dcterms:created>
  <dcterms:modified xsi:type="dcterms:W3CDTF">2026-07-11T04:13:03Z</dcterms:modified>
</cp:coreProperties>
</file>